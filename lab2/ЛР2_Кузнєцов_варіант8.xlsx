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1" autoFilterDateGrouping="1"/>
  </bookViews>
  <sheets>
    <sheet name="Модель" sheetId="1" state="visible" r:id="rId1"/>
    <sheet name="Звіт про стійкість" sheetId="2" state="visible" r:id="rId2"/>
  </sheets>
  <definedNames>
    <definedName name="solver_acr" localSheetId="0" hidden="1" function="0" vbProcedure="0">0</definedName>
    <definedName name="solver_adj" localSheetId="0" hidden="1" function="0" vbProcedure="0">Модель!$B$13:$E$13</definedName>
    <definedName name="solver_asr" localSheetId="0" hidden="1" function="0" vbProcedure="0">0.5</definedName>
    <definedName name="solver_bbd" localSheetId="0" hidden="1" function="0" vbProcedure="0">1</definedName>
    <definedName name="solver_ccoeff" localSheetId="0" hidden="1" function="0" vbProcedure="0">0.729</definedName>
    <definedName name="solver_cog" localSheetId="0" hidden="1" function="0" vbProcedure="0">1.494</definedName>
    <definedName name="solver_crpb" localSheetId="0" hidden="1" function="0" vbProcedure="0">0.9</definedName>
    <definedName name="solver_eng" localSheetId="0" hidden="1" function="0" vbProcedure="0">2</definedName>
    <definedName name="solver_enst" localSheetId="0" hidden="1" function="0" vbProcedure="0">1</definedName>
    <definedName name="solver_eps" localSheetId="0" hidden="1" function="0" vbProcedure="0">0</definedName>
    <definedName name="solver_gvr" localSheetId="0" hidden="1" function="0" vbProcedure="0">1</definedName>
    <definedName name="solver_int" localSheetId="0" hidden="1" function="0" vbProcedure="0">0</definedName>
    <definedName name="solver_lbsz" localSheetId="0" hidden="1" function="0" vbProcedure="0">210</definedName>
    <definedName name="solver_lcy" localSheetId="0" hidden="1" function="0" vbProcedure="0">2000</definedName>
    <definedName name="solver_lhs1" localSheetId="0" hidden="1" function="0" vbProcedure="0">Модель!$F$5:$F$9</definedName>
    <definedName name="solver_lo_eng" localSheetId="0" hidden="1" function="0" vbProcedure="0">"com.sun.star.comp.Calc.LpsolveSolver"</definedName>
    <definedName name="solver_mtpb" localSheetId="0" hidden="1" function="0" vbProcedure="0">0</definedName>
    <definedName name="solver_neg" localSheetId="0" hidden="1" function="0" vbProcedure="0">1</definedName>
    <definedName name="solver_num" localSheetId="0" hidden="1" function="0" vbProcedure="0">1</definedName>
    <definedName name="solver_opt" localSheetId="0" hidden="1" function="0" vbProcedure="0">Модель!$B$15</definedName>
    <definedName name="solver_prng" localSheetId="0" hidden="1" function="0" vbProcedure="0">0</definedName>
    <definedName name="solver_rel1" localSheetId="0" hidden="1" function="0" vbProcedure="0">1</definedName>
    <definedName name="solver_rhs1" localSheetId="0" hidden="1" function="0" vbProcedure="0">Модель!$G$5:$G$9</definedName>
    <definedName name="solver_rsp" localSheetId="0" hidden="1" function="0" vbProcedure="0">0</definedName>
    <definedName name="solver_slim" localSheetId="0" hidden="1" function="0" vbProcedure="0">70</definedName>
    <definedName name="solver_smax" localSheetId="0" hidden="1" function="0" vbProcedure="0">0.5</definedName>
    <definedName name="solver_smin" localSheetId="0" hidden="1" function="0" vbProcedure="0">0.5</definedName>
    <definedName name="solver_soc" localSheetId="0" hidden="1" function="0" vbProcedure="0">1.494</definedName>
    <definedName name="solver_ssz" localSheetId="0" hidden="1" function="0" vbProcedure="0">100</definedName>
    <definedName name="solver_stol" localSheetId="0" hidden="1" function="0" vbProcedure="0">0.000001</definedName>
    <definedName name="solver_tim" localSheetId="0" hidden="1" function="0" vbProcedure="0">100</definedName>
    <definedName name="solver_typ" localSheetId="0" hidden="1" function="0" vbProcedure="0">1</definedName>
    <definedName name="solver_val" localSheetId="0" hidden="1" function="0" vbProcedure="0">0</definedName>
    <definedName name="solver_vrt" localSheetId="0" hidden="1" function="0" vbProcedure="0">3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####"/>
  </numFmts>
  <fonts count="10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mbria"/>
      <charset val="1"/>
      <family val="0"/>
      <b val="1"/>
      <sz val="13"/>
    </font>
    <font>
      <name val="Cambria"/>
      <charset val="1"/>
      <family val="0"/>
      <i val="1"/>
      <color rgb="FF666666"/>
      <sz val="11"/>
    </font>
    <font>
      <name val="Cambria"/>
      <charset val="1"/>
      <family val="0"/>
      <b val="1"/>
      <sz val="11"/>
    </font>
    <font>
      <name val="Cambria"/>
      <charset val="1"/>
      <family val="0"/>
      <i val="1"/>
      <color rgb="FFC00000"/>
      <sz val="11"/>
    </font>
    <font>
      <name val="Calibri"/>
      <charset val="1"/>
      <family val="2"/>
      <b val="1"/>
      <color theme="1"/>
      <sz val="11"/>
    </font>
    <font>
      <i val="1"/>
      <color rgb="00666666"/>
    </font>
  </fonts>
  <fills count="5">
    <fill>
      <patternFill/>
    </fill>
    <fill>
      <patternFill patternType="gray125"/>
    </fill>
    <fill>
      <patternFill patternType="solid">
        <fgColor rgb="FFDDEBF7"/>
        <bgColor rgb="FFE2EFDA"/>
      </patternFill>
    </fill>
    <fill>
      <patternFill patternType="solid">
        <fgColor rgb="FFFFF2CC"/>
        <bgColor rgb="FFE2EFDA"/>
      </patternFill>
    </fill>
    <fill>
      <patternFill patternType="solid">
        <fgColor rgb="FFE2EFDA"/>
        <bgColor rgb="FFDDEBF7"/>
      </patternFill>
    </fill>
  </fills>
  <borders count="4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 style="thin"/>
      <bottom style="thin"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1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1" applyAlignment="1" pivotButton="0" quotePrefix="0" xfId="0">
      <alignment horizontal="center" vertical="bottom" wrapText="1"/>
    </xf>
    <xf numFmtId="0" fontId="0" fillId="0" borderId="1" applyAlignment="1" pivotButton="0" quotePrefix="0" xfId="0">
      <alignment horizontal="general" vertical="bottom"/>
    </xf>
    <xf numFmtId="0" fontId="0" fillId="2" borderId="1" applyAlignment="1" pivotButton="0" quotePrefix="0" xfId="0">
      <alignment horizontal="general" vertical="bottom"/>
    </xf>
    <xf numFmtId="2" fontId="0" fillId="0" borderId="1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164" fontId="0" fillId="3" borderId="1" applyAlignment="1" pivotButton="0" quotePrefix="0" xfId="0">
      <alignment horizontal="general" vertical="bottom"/>
    </xf>
    <xf numFmtId="2" fontId="6" fillId="4" borderId="1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8" fillId="0" borderId="2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general" vertical="bottom"/>
    </xf>
    <xf numFmtId="165" fontId="0" fillId="0" borderId="1" applyAlignment="1" pivotButton="0" quotePrefix="0" xfId="0">
      <alignment horizontal="general" vertical="bottom"/>
    </xf>
    <xf numFmtId="164" fontId="0" fillId="0" borderId="1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1" applyAlignment="1" pivotButton="0" quotePrefix="0" xfId="0">
      <alignment horizontal="center" vertical="bottom" wrapText="1"/>
    </xf>
    <xf numFmtId="0" fontId="0" fillId="0" borderId="1" applyAlignment="1" pivotButton="0" quotePrefix="0" xfId="0">
      <alignment horizontal="general" vertical="bottom"/>
    </xf>
    <xf numFmtId="0" fontId="0" fillId="2" borderId="1" applyAlignment="1" pivotButton="0" quotePrefix="0" xfId="0">
      <alignment horizontal="general" vertical="bottom"/>
    </xf>
    <xf numFmtId="2" fontId="0" fillId="0" borderId="1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164" fontId="0" fillId="3" borderId="1" applyAlignment="1" pivotButton="0" quotePrefix="0" xfId="0">
      <alignment horizontal="general" vertical="bottom"/>
    </xf>
    <xf numFmtId="2" fontId="6" fillId="4" borderId="1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8" fillId="0" borderId="2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H2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B14" activeCellId="0" sqref="B14"/>
    </sheetView>
  </sheetViews>
  <sheetFormatPr baseColWidth="8" defaultColWidth="8.515625" defaultRowHeight="15" customHeight="0" zeroHeight="0" outlineLevelRow="0"/>
  <cols>
    <col width="32" customWidth="1" style="16" min="1" max="1"/>
    <col width="12" customWidth="1" style="16" min="2" max="8"/>
  </cols>
  <sheetData>
    <row r="1" ht="16.15" customHeight="1" s="17">
      <c r="A1" s="18" t="inlineStr">
        <is>
          <t>ЛР2 · Варіант 8 · «Друк-Сервіс» · Кузнєцов Макар, ШІ-32</t>
        </is>
      </c>
    </row>
    <row r="2" ht="15" customHeight="1" s="17">
      <c r="A2" s="19" t="inlineStr">
        <is>
          <t>Блакитні — вхідні дані, жовті — змінні рішення (Solver), зелена — цільова функція.</t>
        </is>
      </c>
    </row>
    <row r="4" ht="30" customHeight="1" s="17">
      <c r="A4" s="20" t="inlineStr">
        <is>
          <t>Ресурс</t>
        </is>
      </c>
      <c r="B4" s="20" t="inlineStr">
        <is>
          <t>Буклет</t>
        </is>
      </c>
      <c r="C4" s="20" t="inlineStr">
        <is>
          <t>Каталог</t>
        </is>
      </c>
      <c r="D4" s="20" t="inlineStr">
        <is>
          <t>Календар</t>
        </is>
      </c>
      <c r="E4" s="20" t="inlineStr">
        <is>
          <t>Плакат</t>
        </is>
      </c>
      <c r="F4" s="20" t="inlineStr">
        <is>
          <t>Витрачено</t>
        </is>
      </c>
      <c r="G4" s="20" t="inlineStr">
        <is>
          <t>Запас</t>
        </is>
      </c>
      <c r="H4" s="20" t="inlineStr">
        <is>
          <t>Залишок</t>
        </is>
      </c>
    </row>
    <row r="5" ht="15" customHeight="1" s="17">
      <c r="A5" s="21" t="inlineStr">
        <is>
          <t>Крейдований папір, кг</t>
        </is>
      </c>
      <c r="B5" s="22" t="n">
        <v>2</v>
      </c>
      <c r="C5" s="22" t="n">
        <v>1</v>
      </c>
      <c r="D5" s="22" t="n">
        <v>3</v>
      </c>
      <c r="E5" s="22" t="n">
        <v>5</v>
      </c>
      <c r="F5" s="23">
        <f>SUMPRODUCT(B5:E5,$B$13:$E$13)</f>
        <v/>
      </c>
      <c r="G5" s="22" t="n">
        <v>1279</v>
      </c>
      <c r="H5" s="23">
        <f>G5-F5</f>
        <v/>
      </c>
    </row>
    <row r="6" ht="15" customHeight="1" s="17">
      <c r="A6" s="21" t="inlineStr">
        <is>
          <t>Офсетний папір, кг</t>
        </is>
      </c>
      <c r="B6" s="22" t="n">
        <v>3</v>
      </c>
      <c r="C6" s="22" t="n">
        <v>1</v>
      </c>
      <c r="D6" s="22" t="n">
        <v>0</v>
      </c>
      <c r="E6" s="22" t="n">
        <v>6</v>
      </c>
      <c r="F6" s="23">
        <f>SUMPRODUCT(B6:E6,$B$13:$E$13)</f>
        <v/>
      </c>
      <c r="G6" s="22" t="n">
        <v>761</v>
      </c>
      <c r="H6" s="23">
        <f>G6-F6</f>
        <v/>
      </c>
    </row>
    <row r="7" ht="15" customHeight="1" s="17">
      <c r="A7" s="21" t="inlineStr">
        <is>
          <t>Фарба, кг</t>
        </is>
      </c>
      <c r="B7" s="22" t="n">
        <v>1</v>
      </c>
      <c r="C7" s="22" t="n">
        <v>6</v>
      </c>
      <c r="D7" s="22" t="n">
        <v>1</v>
      </c>
      <c r="E7" s="22" t="n">
        <v>5</v>
      </c>
      <c r="F7" s="23">
        <f>SUMPRODUCT(B7:E7,$B$13:$E$13)</f>
        <v/>
      </c>
      <c r="G7" s="22" t="n">
        <v>376</v>
      </c>
      <c r="H7" s="23">
        <f>G7-F7</f>
        <v/>
      </c>
    </row>
    <row r="8" ht="15" customHeight="1" s="17">
      <c r="A8" s="21" t="inlineStr">
        <is>
          <t>Друкарська машина, год</t>
        </is>
      </c>
      <c r="B8" s="22" t="n">
        <v>2</v>
      </c>
      <c r="C8" s="22" t="n">
        <v>2</v>
      </c>
      <c r="D8" s="22" t="n">
        <v>4</v>
      </c>
      <c r="E8" s="22" t="n">
        <v>0</v>
      </c>
      <c r="F8" s="23">
        <f>SUMPRODUCT(B8:E8,$B$13:$E$13)</f>
        <v/>
      </c>
      <c r="G8" s="22" t="n">
        <v>1230</v>
      </c>
      <c r="H8" s="23">
        <f>G8-F8</f>
        <v/>
      </c>
    </row>
    <row r="9" ht="15" customHeight="1" s="17">
      <c r="A9" s="21" t="inlineStr">
        <is>
          <t>Різка й фальцювання, год</t>
        </is>
      </c>
      <c r="B9" s="22" t="n">
        <v>6</v>
      </c>
      <c r="C9" s="22" t="n">
        <v>1</v>
      </c>
      <c r="D9" s="22" t="n">
        <v>2</v>
      </c>
      <c r="E9" s="22" t="n">
        <v>2</v>
      </c>
      <c r="F9" s="23">
        <f>SUMPRODUCT(B9:E9,$B$13:$E$13)</f>
        <v/>
      </c>
      <c r="G9" s="22" t="n">
        <v>1065</v>
      </c>
      <c r="H9" s="23">
        <f>G9-F9</f>
        <v/>
      </c>
    </row>
    <row r="11" ht="15" customHeight="1" s="17">
      <c r="A11" s="24" t="inlineStr">
        <is>
          <t>Прибуток з одиниці</t>
        </is>
      </c>
      <c r="B11" s="22" t="n">
        <v>60</v>
      </c>
      <c r="C11" s="22" t="n">
        <v>25</v>
      </c>
      <c r="D11" s="22" t="n">
        <v>59</v>
      </c>
      <c r="E11" s="22" t="n">
        <v>25</v>
      </c>
    </row>
    <row r="12" ht="15" customHeight="1" s="17">
      <c r="A12" s="24" t="n"/>
      <c r="B12" s="24" t="inlineStr">
        <is>
          <t>Буклет</t>
        </is>
      </c>
      <c r="C12" s="24" t="inlineStr">
        <is>
          <t>Каталог</t>
        </is>
      </c>
      <c r="D12" s="24" t="inlineStr">
        <is>
          <t>Календар</t>
        </is>
      </c>
      <c r="E12" s="24" t="inlineStr">
        <is>
          <t>Плакат</t>
        </is>
      </c>
    </row>
    <row r="13" ht="15" customHeight="1" s="17">
      <c r="A13" s="24" t="inlineStr">
        <is>
          <t>План випуску, тис. прим./тижд.</t>
        </is>
      </c>
      <c r="B13" s="25" t="n">
        <v>88.0416666666667</v>
      </c>
      <c r="C13" s="25" t="n">
        <v>0</v>
      </c>
      <c r="D13" s="25" t="n">
        <v>263.479166666667</v>
      </c>
      <c r="E13" s="25" t="n">
        <v>4.89583333333334</v>
      </c>
    </row>
    <row r="15" ht="15" customHeight="1" s="17">
      <c r="A15" s="24" t="inlineStr">
        <is>
          <t>ПРИБУТОК (max)</t>
        </is>
      </c>
      <c r="B15" s="26">
        <f>SUMPRODUCT(B11:E11,B13:E13)</f>
        <v/>
      </c>
    </row>
    <row r="17" ht="15" customHeight="1" s="17">
      <c r="A17" s="19" t="inlineStr">
        <is>
          <t>Налаштування Solver: цільова $B$15 → Макс; змінні $B$13:$E$13; обмеження $F$5:$F$9 &lt;= $G$5:$G$9;</t>
        </is>
      </c>
    </row>
    <row r="18" ht="15" customHeight="1" s="17">
      <c r="A18" s="19" t="inlineStr">
        <is>
          <t>«Зробити змінні без обмежень невід’ємними» ✓; метод «Симплекс-метод для лінійних задач»; звіт — «Стійкість».</t>
        </is>
      </c>
    </row>
    <row r="20" ht="15" customHeight="1" s="17">
      <c r="A20" s="27" t="inlineStr">
        <is>
          <t>Розв’язано Solver’ом LibreOffice Calc 26.8 (LibreOffice Linear Solver, звіт: «Generate sensitivity report»): 20 950,17.</t>
        </is>
      </c>
    </row>
    <row r="21" ht="15" customHeight="1" s="17">
      <c r="A21" s="27" t="inlineStr">
        <is>
          <t>Аркуш «Звіт про стійкість» створено LibreOffice Solver автоматично.</t>
        </is>
      </c>
    </row>
    <row r="22" ht="15" customHeight="1" s="17">
      <c r="A22" s="27" t="n"/>
    </row>
    <row r="23" ht="15" customHeight="1" s="17">
      <c r="A23" s="27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F21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1.53515625" defaultRowHeight="12.8" customHeight="0" zeroHeight="0" outlineLevelRow="0"/>
  <sheetData>
    <row r="1" ht="12.8" customHeight="1" s="17">
      <c r="A1" s="28" t="inlineStr">
        <is>
          <t>Sensitivity Report</t>
        </is>
      </c>
    </row>
    <row r="2" ht="12.8" customHeight="1" s="17">
      <c r="A2" s="16" t="inlineStr">
        <is>
          <t>Solver Engine: com.sun.star.comp.Calc.LpsolveSolver</t>
        </is>
      </c>
    </row>
    <row r="4" ht="12.8" customHeight="1" s="17">
      <c r="A4" s="28" t="inlineStr">
        <is>
          <t>Objective Cell</t>
        </is>
      </c>
    </row>
    <row r="5" ht="13.8" customHeight="1" s="17">
      <c r="A5" s="29" t="inlineStr">
        <is>
          <t>Cell</t>
        </is>
      </c>
      <c r="B5" s="29" t="inlineStr">
        <is>
          <t>Final Value</t>
        </is>
      </c>
    </row>
    <row r="6" ht="12.8" customHeight="1" s="17">
      <c r="A6" s="30" t="inlineStr">
        <is>
          <t>$B$15</t>
        </is>
      </c>
      <c r="B6" s="30" t="n">
        <v>20950.1666666667</v>
      </c>
    </row>
    <row r="8" ht="12.8" customHeight="1" s="17">
      <c r="A8" s="28" t="inlineStr">
        <is>
          <t>Variable Cells</t>
        </is>
      </c>
    </row>
    <row r="9" ht="22.7" customHeight="1" s="17">
      <c r="A9" s="29" t="inlineStr">
        <is>
          <t>Cell</t>
        </is>
      </c>
      <c r="B9" s="29" t="inlineStr">
        <is>
          <t>Final Value</t>
        </is>
      </c>
      <c r="C9" s="29" t="inlineStr">
        <is>
          <t>Reduced Cost</t>
        </is>
      </c>
      <c r="D9" s="29" t="inlineStr">
        <is>
          <t>Objective Coefficient</t>
        </is>
      </c>
      <c r="E9" s="29" t="inlineStr">
        <is>
          <t>Allowable Decrease</t>
        </is>
      </c>
      <c r="F9" s="29" t="inlineStr">
        <is>
          <t>Allowable Increase</t>
        </is>
      </c>
    </row>
    <row r="10" ht="12.8" customHeight="1" s="17">
      <c r="A10" s="16" t="inlineStr">
        <is>
          <t>$B$13</t>
        </is>
      </c>
      <c r="B10" s="16" t="n">
        <v>88.0416666666667</v>
      </c>
      <c r="C10" s="16" t="n">
        <v>0</v>
      </c>
      <c r="D10" s="16" t="n">
        <v>60</v>
      </c>
      <c r="E10" s="16" t="n">
        <v>28</v>
      </c>
      <c r="F10" s="16" t="n">
        <v>32</v>
      </c>
    </row>
    <row r="11" ht="12.8" customHeight="1" s="17">
      <c r="A11" s="16" t="inlineStr">
        <is>
          <t>$C$13</t>
        </is>
      </c>
      <c r="B11" s="16" t="n">
        <v>0</v>
      </c>
      <c r="C11" s="16" t="n">
        <v>-19.1666666666667</v>
      </c>
      <c r="D11" s="16" t="n">
        <v>25</v>
      </c>
      <c r="E11" s="16" t="n">
        <v>1e+30</v>
      </c>
      <c r="F11" s="16" t="n">
        <v>19.1666666666667</v>
      </c>
    </row>
    <row r="12" ht="12.8" customHeight="1" s="17">
      <c r="A12" s="16" t="inlineStr">
        <is>
          <t>$D$13</t>
        </is>
      </c>
      <c r="B12" s="16" t="n">
        <v>263.479166666667</v>
      </c>
      <c r="C12" s="16" t="n">
        <v>0</v>
      </c>
      <c r="D12" s="16" t="n">
        <v>59</v>
      </c>
      <c r="E12" s="16" t="n">
        <v>26.2857142857143</v>
      </c>
      <c r="F12" s="16" t="n">
        <v>56</v>
      </c>
    </row>
    <row r="13" ht="12.8" customHeight="1" s="17">
      <c r="A13" s="30" t="inlineStr">
        <is>
          <t>$E$13</t>
        </is>
      </c>
      <c r="B13" s="30" t="n">
        <v>4.89583333333334</v>
      </c>
      <c r="C13" s="30" t="n">
        <v>0</v>
      </c>
      <c r="D13" s="30" t="n">
        <v>25</v>
      </c>
      <c r="E13" s="30" t="n">
        <v>12.8</v>
      </c>
      <c r="F13" s="30" t="n">
        <v>268</v>
      </c>
    </row>
    <row r="15" ht="12.8" customHeight="1" s="17">
      <c r="A15" s="28" t="inlineStr">
        <is>
          <t>Constraints</t>
        </is>
      </c>
    </row>
    <row r="16" ht="22.7" customHeight="1" s="17">
      <c r="A16" s="29" t="inlineStr">
        <is>
          <t>Cell</t>
        </is>
      </c>
      <c r="B16" s="29" t="inlineStr">
        <is>
          <t>Final Value</t>
        </is>
      </c>
      <c r="C16" s="29" t="inlineStr">
        <is>
          <t>Shadow Price</t>
        </is>
      </c>
      <c r="D16" s="29" t="inlineStr">
        <is>
          <t>Constraint R.H. Side</t>
        </is>
      </c>
      <c r="E16" s="29" t="inlineStr">
        <is>
          <t>Allowable Decrease</t>
        </is>
      </c>
      <c r="F16" s="29" t="inlineStr">
        <is>
          <t>Allowable Increase</t>
        </is>
      </c>
    </row>
    <row r="17" ht="12.8" customHeight="1" s="17">
      <c r="A17" s="16" t="inlineStr">
        <is>
          <t>$F$5</t>
        </is>
      </c>
      <c r="B17" s="16" t="n">
        <v>991</v>
      </c>
      <c r="C17" s="16" t="n">
        <v>0</v>
      </c>
      <c r="D17" s="16" t="n">
        <v>1279</v>
      </c>
      <c r="E17" s="16" t="n">
        <v>288</v>
      </c>
      <c r="F17" s="16" t="n">
        <v>1e+30</v>
      </c>
    </row>
    <row r="18" ht="12.8" customHeight="1" s="17">
      <c r="A18" s="16" t="inlineStr">
        <is>
          <t>$F$6</t>
        </is>
      </c>
      <c r="B18" s="16" t="n">
        <v>293.5</v>
      </c>
      <c r="C18" s="16" t="n">
        <v>0</v>
      </c>
      <c r="D18" s="16" t="n">
        <v>761</v>
      </c>
      <c r="E18" s="16" t="n">
        <v>467.5</v>
      </c>
      <c r="F18" s="16" t="n">
        <v>1e+30</v>
      </c>
    </row>
    <row r="19" ht="12.8" customHeight="1" s="17">
      <c r="A19" s="16" t="inlineStr">
        <is>
          <t>$F$7</t>
        </is>
      </c>
      <c r="B19" s="16" t="n">
        <v>376</v>
      </c>
      <c r="C19" s="16" t="n">
        <v>2.66666666666667</v>
      </c>
      <c r="D19" s="16" t="n">
        <v>376</v>
      </c>
      <c r="E19" s="16" t="n">
        <v>23.5000000000001</v>
      </c>
      <c r="F19" s="16" t="n">
        <v>288</v>
      </c>
    </row>
    <row r="20" ht="12.8" customHeight="1" s="17">
      <c r="A20" s="16" t="inlineStr">
        <is>
          <t>$F$8</t>
        </is>
      </c>
      <c r="B20" s="16" t="n">
        <v>1230</v>
      </c>
      <c r="C20" s="16" t="n">
        <v>11.1666666666667</v>
      </c>
      <c r="D20" s="16" t="n">
        <v>1230</v>
      </c>
      <c r="E20" s="16" t="n">
        <v>903.357142857143</v>
      </c>
      <c r="F20" s="16" t="n">
        <v>117.5</v>
      </c>
    </row>
    <row r="21" ht="12.8" customHeight="1" s="17">
      <c r="A21" s="30" t="inlineStr">
        <is>
          <t>$F$9</t>
        </is>
      </c>
      <c r="B21" s="30" t="n">
        <v>1065</v>
      </c>
      <c r="C21" s="30" t="n">
        <v>5.83333333333333</v>
      </c>
      <c r="D21" s="30" t="n">
        <v>1065</v>
      </c>
      <c r="E21" s="30" t="n">
        <v>422.6</v>
      </c>
      <c r="F21" s="30" t="n">
        <v>235</v>
      </c>
    </row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&amp;C&amp;"Times New Roman"&amp;12 &amp;Kffffff&amp;A</oddHeader>
    <oddFooter>&amp;C&amp;"Times New Roman"&amp;12 &amp;KffffffPage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2026-10-04T14:42:44Z</dcterms:created>
  <dcterms:modified xsi:type="dcterms:W3CDTF">2026-10-04T16:57:34Z</dcterms:modified>
  <cp:revision>1</cp:revision>
</cp:coreProperties>
</file>